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Contrats" sheetId="2" state="visible" r:id="rId2"/>
    <sheet xmlns:r="http://schemas.openxmlformats.org/officeDocument/2006/relationships" name="Devises" sheetId="3" state="visible" r:id="rId3"/>
    <sheet xmlns:r="http://schemas.openxmlformats.org/officeDocument/2006/relationships" name="Liaison" sheetId="4" state="visible" r:id="rId4"/>
    <sheet xmlns:r="http://schemas.openxmlformats.org/officeDocument/2006/relationships" name="Calcul" sheetId="5" state="visible" r:id="rId5"/>
    <sheet xmlns:r="http://schemas.openxmlformats.org/officeDocument/2006/relationships" name="Écran" sheetId="6" state="visible" r:id="rId6"/>
    <sheet xmlns:r="http://schemas.openxmlformats.org/officeDocument/2006/relationships" name="Journal des calculs" sheetId="7" state="visible" r:id="rId7"/>
    <sheet xmlns:r="http://schemas.openxmlformats.org/officeDocument/2006/relationships" name="Jeux d'entrée" sheetId="8" state="visible" r:id="rId8"/>
    <sheet xmlns:r="http://schemas.openxmlformats.org/officeDocument/2006/relationships" name="Résultats" sheetId="9" state="visible" r:id="rId9"/>
    <sheet xmlns:r="http://schemas.openxmlformats.org/officeDocument/2006/relationships" name="Synthè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00"/>
    <numFmt numFmtId="167" formatCode="0.0%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b val="1"/>
      <color rgb="00FFFFFF"/>
      <sz val="14"/>
    </font>
    <font>
      <b val="1"/>
      <color rgb="00FFFFFF"/>
      <sz val="12"/>
    </font>
    <font>
      <b val="1"/>
      <color rgb="0013264A"/>
    </font>
    <font>
      <i val="1"/>
      <color rgb="00666666"/>
      <sz val="9"/>
    </font>
    <font>
      <b val="1"/>
      <color rgb="00BA1C3A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3264A"/>
      </patternFill>
    </fill>
    <fill>
      <patternFill patternType="solid">
        <fgColor rgb="00FFF4C2"/>
      </patternFill>
    </fill>
    <fill>
      <patternFill patternType="solid">
        <fgColor rgb="00BA1C3A"/>
      </patternFill>
    </fill>
    <fill>
      <patternFill patternType="solid">
        <fgColor rgb="00F6F1EA"/>
      </patternFill>
    </fill>
  </fills>
  <borders count="2">
    <border>
      <left/>
      <right/>
      <top/>
      <bottom/>
      <diagonal/>
    </border>
    <border>
      <left style="thin">
        <color rgb="00DCD8D4"/>
      </left>
      <right style="thin">
        <color rgb="00DCD8D4"/>
      </right>
      <top style="thin">
        <color rgb="00DCD8D4"/>
      </top>
      <bottom style="thin">
        <color rgb="00DCD8D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4" borderId="0" applyAlignment="1" pivotButton="0" quotePrefix="0" xfId="0">
      <alignment vertical="center" indent="1"/>
    </xf>
    <xf numFmtId="0" fontId="6" fillId="5" borderId="0" pivotButton="0" quotePrefix="0" xfId="0"/>
    <xf numFmtId="0" fontId="0" fillId="0" borderId="1" applyAlignment="1" pivotButton="0" quotePrefix="0" xfId="0">
      <alignment horizontal="right" indent="1"/>
    </xf>
    <xf numFmtId="0" fontId="7" fillId="0" borderId="0" pivotButton="0" quotePrefix="0" xfId="0"/>
    <xf numFmtId="4" fontId="0" fillId="0" borderId="1" applyAlignment="1" pivotButton="0" quotePrefix="0" xfId="0">
      <alignment horizontal="right" indent="1"/>
    </xf>
    <xf numFmtId="167" fontId="2" fillId="3" borderId="1" applyAlignment="1" pivotButton="0" quotePrefix="0" xfId="0">
      <alignment horizontal="right" indent="1"/>
    </xf>
    <xf numFmtId="166" fontId="0" fillId="0" borderId="1" applyAlignment="1" pivotButton="0" quotePrefix="0" xfId="0">
      <alignment horizontal="right" indent="1"/>
    </xf>
    <xf numFmtId="0" fontId="8" fillId="0" borderId="0" applyAlignment="1" pivotButton="0" quotePrefix="0" xfId="0">
      <alignment horizontal="center"/>
    </xf>
    <xf numFmtId="0" fontId="5" fillId="2" borderId="0" applyAlignment="1" pivotButton="0" quotePrefix="0" xfId="0">
      <alignment vertical="center" indent="1"/>
    </xf>
    <xf numFmtId="0" fontId="9" fillId="2" borderId="0" applyAlignment="1" pivotButton="0" quotePrefix="0" xfId="0">
      <alignment vertical="center" indent="1"/>
    </xf>
    <xf numFmtId="0" fontId="0" fillId="0" borderId="1" applyAlignment="1" pivotButton="0" quotePrefix="0" xfId="0">
      <alignment horizontal="left" indent="1"/>
    </xf>
    <xf numFmtId="0" fontId="0" fillId="0" borderId="1" pivotButton="0" quotePrefix="0" xfId="0"/>
    <xf numFmtId="165" fontId="0" fillId="0" borderId="1" applyAlignment="1" pivotButton="0" quotePrefix="0" xfId="0">
      <alignment horizontal="left" indent="1"/>
    </xf>
    <xf numFmtId="4" fontId="0" fillId="0" borderId="1" applyAlignment="1" pivotButton="0" quotePrefix="0" xfId="0">
      <alignment horizontal="left" indent="1"/>
    </xf>
    <xf numFmtId="0" fontId="7" fillId="0" borderId="0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id_client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date_naissance</t>
        </is>
      </c>
      <c r="G1" s="1" t="inlineStr">
        <is>
          <t>segment</t>
        </is>
      </c>
    </row>
    <row r="2">
      <c r="A2" t="inlineStr">
        <is>
          <t>C001</t>
        </is>
      </c>
      <c r="B2" t="inlineStr">
        <is>
          <t>Martin</t>
        </is>
      </c>
      <c r="C2" t="inlineStr">
        <is>
          <t>Claire</t>
        </is>
      </c>
      <c r="D2" t="inlineStr">
        <is>
          <t>Lyon</t>
        </is>
      </c>
      <c r="E2" t="inlineStr">
        <is>
          <t>France</t>
        </is>
      </c>
      <c r="F2" s="2" t="n">
        <v>28592</v>
      </c>
      <c r="G2" t="inlineStr">
        <is>
          <t>Particulier</t>
        </is>
      </c>
    </row>
    <row r="3">
      <c r="A3" t="inlineStr">
        <is>
          <t>C002</t>
        </is>
      </c>
      <c r="B3" t="inlineStr">
        <is>
          <t>Weber</t>
        </is>
      </c>
      <c r="C3" t="inlineStr">
        <is>
          <t>Lukas</t>
        </is>
      </c>
      <c r="D3" t="inlineStr">
        <is>
          <t>Luxembourg</t>
        </is>
      </c>
      <c r="E3" t="inlineStr">
        <is>
          <t>Luxembourg</t>
        </is>
      </c>
      <c r="F3" s="2" t="n">
        <v>31293</v>
      </c>
      <c r="G3" t="inlineStr">
        <is>
          <t>Particulier</t>
        </is>
      </c>
    </row>
    <row r="4">
      <c r="A4" t="inlineStr">
        <is>
          <t>C003</t>
        </is>
      </c>
      <c r="B4" t="inlineStr">
        <is>
          <t>Rossi</t>
        </is>
      </c>
      <c r="C4" t="inlineStr">
        <is>
          <t>Giulia</t>
        </is>
      </c>
      <c r="D4" t="inlineStr">
        <is>
          <t>Genève</t>
        </is>
      </c>
      <c r="E4" t="inlineStr">
        <is>
          <t>Suisse</t>
        </is>
      </c>
      <c r="F4" s="2" t="n">
        <v>25230</v>
      </c>
      <c r="G4" t="inlineStr">
        <is>
          <t>Patrimonial</t>
        </is>
      </c>
    </row>
    <row r="5">
      <c r="A5" t="inlineStr">
        <is>
          <t>C004</t>
        </is>
      </c>
      <c r="B5" t="inlineStr">
        <is>
          <t>Bernard</t>
        </is>
      </c>
      <c r="C5" t="inlineStr">
        <is>
          <t>Hugo</t>
        </is>
      </c>
      <c r="D5" t="inlineStr">
        <is>
          <t>Nantes</t>
        </is>
      </c>
      <c r="E5" t="inlineStr">
        <is>
          <t>France</t>
        </is>
      </c>
      <c r="F5" s="2" t="n">
        <v>33773</v>
      </c>
      <c r="G5" t="inlineStr">
        <is>
          <t>Particulier</t>
        </is>
      </c>
    </row>
    <row r="6">
      <c r="A6" t="inlineStr">
        <is>
          <t>C005</t>
        </is>
      </c>
      <c r="B6" t="inlineStr">
        <is>
          <t>Taylor</t>
        </is>
      </c>
      <c r="C6" t="inlineStr">
        <is>
          <t>Emma</t>
        </is>
      </c>
      <c r="D6" t="inlineStr">
        <is>
          <t>Londres</t>
        </is>
      </c>
      <c r="E6" t="inlineStr">
        <is>
          <t>Royaume-Uni</t>
        </is>
      </c>
      <c r="F6" s="2" t="n">
        <v>27338</v>
      </c>
      <c r="G6" t="inlineStr">
        <is>
          <t>Patrimonial</t>
        </is>
      </c>
    </row>
    <row r="7">
      <c r="A7" t="inlineStr">
        <is>
          <t>C006</t>
        </is>
      </c>
      <c r="B7" t="inlineStr">
        <is>
          <t>Dupont</t>
        </is>
      </c>
      <c r="C7" t="inlineStr">
        <is>
          <t>Sarah</t>
        </is>
      </c>
      <c r="D7" t="inlineStr">
        <is>
          <t>Bordeaux</t>
        </is>
      </c>
      <c r="E7" t="inlineStr">
        <is>
          <t>France</t>
        </is>
      </c>
      <c r="F7" s="2" t="n">
        <v>32182</v>
      </c>
      <c r="G7" t="inlineStr">
        <is>
          <t>Professionnel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id_contrat</t>
        </is>
      </c>
      <c r="B1" s="1" t="inlineStr">
        <is>
          <t>id_client</t>
        </is>
      </c>
      <c r="C1" s="1" t="inlineStr">
        <is>
          <t>produit</t>
        </is>
      </c>
      <c r="D1" s="1" t="inlineStr">
        <is>
          <t>date_effet</t>
        </is>
      </c>
      <c r="E1" s="1" t="inlineStr">
        <is>
          <t>devise</t>
        </is>
      </c>
      <c r="F1" s="1" t="inlineStr">
        <is>
          <t>prime_annuelle</t>
        </is>
      </c>
      <c r="G1" s="1" t="inlineStr">
        <is>
          <t>capital_assure</t>
        </is>
      </c>
    </row>
    <row r="2">
      <c r="A2" t="inlineStr">
        <is>
          <t>K101</t>
        </is>
      </c>
      <c r="B2" t="inlineStr">
        <is>
          <t>C001</t>
        </is>
      </c>
      <c r="C2" t="inlineStr">
        <is>
          <t>Habitation</t>
        </is>
      </c>
      <c r="D2" s="2" t="n">
        <v>44986</v>
      </c>
      <c r="E2" t="inlineStr">
        <is>
          <t>EUR</t>
        </is>
      </c>
      <c r="F2" s="3" t="n">
        <v>420</v>
      </c>
      <c r="G2" s="3" t="n">
        <v>250000</v>
      </c>
    </row>
    <row r="3">
      <c r="A3" t="inlineStr">
        <is>
          <t>K102</t>
        </is>
      </c>
      <c r="B3" t="inlineStr">
        <is>
          <t>C002</t>
        </is>
      </c>
      <c r="C3" t="inlineStr">
        <is>
          <t>Épargne en euros</t>
        </is>
      </c>
      <c r="D3" s="2" t="n">
        <v>43480</v>
      </c>
      <c r="E3" t="inlineStr">
        <is>
          <t>EUR</t>
        </is>
      </c>
      <c r="F3" s="3" t="n">
        <v>2400</v>
      </c>
      <c r="G3" s="3" t="n">
        <v>85000</v>
      </c>
    </row>
    <row r="4">
      <c r="A4" t="inlineStr">
        <is>
          <t>K103</t>
        </is>
      </c>
      <c r="B4" t="inlineStr">
        <is>
          <t>C003</t>
        </is>
      </c>
      <c r="C4" t="inlineStr">
        <is>
          <t>Assurance vie en unités de compte</t>
        </is>
      </c>
      <c r="D4" s="2" t="n">
        <v>44378</v>
      </c>
      <c r="E4" t="inlineStr">
        <is>
          <t>CHF</t>
        </is>
      </c>
      <c r="F4" s="3" t="n">
        <v>12000</v>
      </c>
      <c r="G4" s="3" t="n">
        <v>640000</v>
      </c>
    </row>
    <row r="5">
      <c r="A5" t="inlineStr">
        <is>
          <t>K104</t>
        </is>
      </c>
      <c r="B5" t="inlineStr">
        <is>
          <t>C004</t>
        </is>
      </c>
      <c r="C5" t="inlineStr">
        <is>
          <t>Automobile</t>
        </is>
      </c>
      <c r="D5" s="2" t="n">
        <v>45555</v>
      </c>
      <c r="E5" t="inlineStr">
        <is>
          <t>EUR</t>
        </is>
      </c>
      <c r="F5" s="3" t="n">
        <v>610</v>
      </c>
      <c r="G5" s="3" t="n">
        <v>30000</v>
      </c>
    </row>
    <row r="6">
      <c r="A6" t="inlineStr">
        <is>
          <t>K105</t>
        </is>
      </c>
      <c r="B6" t="inlineStr">
        <is>
          <t>C005</t>
        </is>
      </c>
      <c r="C6" t="inlineStr">
        <is>
          <t>Prévoyance</t>
        </is>
      </c>
      <c r="D6" s="2" t="n">
        <v>43961</v>
      </c>
      <c r="E6" t="inlineStr">
        <is>
          <t>GBP</t>
        </is>
      </c>
      <c r="F6" s="3" t="n">
        <v>1800</v>
      </c>
      <c r="G6" s="3" t="n">
        <v>400000</v>
      </c>
    </row>
    <row r="7">
      <c r="A7" t="inlineStr">
        <is>
          <t>K106</t>
        </is>
      </c>
      <c r="B7" t="inlineStr">
        <is>
          <t>C006</t>
        </is>
      </c>
      <c r="C7" t="inlineStr">
        <is>
          <t>Responsabilité civile professionnelle</t>
        </is>
      </c>
      <c r="D7" s="2" t="n">
        <v>44562</v>
      </c>
      <c r="E7" t="inlineStr">
        <is>
          <t>EUR</t>
        </is>
      </c>
      <c r="F7" s="3" t="n">
        <v>1350</v>
      </c>
      <c r="G7" s="3" t="n">
        <v>1500000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>
      <c r="A1" s="1" t="inlineStr">
        <is>
          <t>devise</t>
        </is>
      </c>
      <c r="B1" s="1" t="inlineStr">
        <is>
          <t>libelle</t>
        </is>
      </c>
      <c r="C1" s="1" t="inlineStr">
        <is>
          <t>taux_vers_eur</t>
        </is>
      </c>
      <c r="D1" s="1" t="inlineStr">
        <is>
          <t>date_cours</t>
        </is>
      </c>
    </row>
    <row r="2">
      <c r="A2" t="inlineStr">
        <is>
          <t>EUR</t>
        </is>
      </c>
      <c r="B2" t="inlineStr">
        <is>
          <t>Euro</t>
        </is>
      </c>
      <c r="C2" s="4" t="n">
        <v>1</v>
      </c>
      <c r="D2" s="2" t="n">
        <v>46022</v>
      </c>
    </row>
    <row r="3">
      <c r="A3" t="inlineStr">
        <is>
          <t>CHF</t>
        </is>
      </c>
      <c r="B3" t="inlineStr">
        <is>
          <t>Franc suisse</t>
        </is>
      </c>
      <c r="C3" s="4" t="n">
        <v>1.06</v>
      </c>
      <c r="D3" s="2" t="n">
        <v>46022</v>
      </c>
    </row>
    <row r="4">
      <c r="A4" t="inlineStr">
        <is>
          <t>GBP</t>
        </is>
      </c>
      <c r="B4" t="inlineStr">
        <is>
          <t>Livre sterling</t>
        </is>
      </c>
      <c r="C4" s="4" t="n">
        <v>1.17</v>
      </c>
      <c r="D4" s="2" t="n">
        <v>46022</v>
      </c>
    </row>
    <row r="5">
      <c r="A5" t="inlineStr">
        <is>
          <t>USD</t>
        </is>
      </c>
      <c r="B5" t="inlineStr">
        <is>
          <t>Dollar américain</t>
        </is>
      </c>
      <c r="C5" s="4" t="n">
        <v>0.92</v>
      </c>
      <c r="D5" s="2" t="n">
        <v>46022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17" customWidth="1" min="14" max="14"/>
    <col width="14" customWidth="1" min="15" max="15"/>
    <col width="15" customWidth="1" min="16" max="16"/>
  </cols>
  <sheetData>
    <row r="1">
      <c r="A1" s="1" t="inlineStr">
        <is>
          <t>cle_client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date_naissance</t>
        </is>
      </c>
      <c r="G1" s="1" t="inlineStr">
        <is>
          <t>segment</t>
        </is>
      </c>
      <c r="H1" s="1" t="inlineStr">
        <is>
          <t>id_contrat</t>
        </is>
      </c>
      <c r="I1" s="1" t="inlineStr">
        <is>
          <t>produit</t>
        </is>
      </c>
      <c r="J1" s="1" t="inlineStr">
        <is>
          <t>date_effet</t>
        </is>
      </c>
      <c r="K1" s="1" t="inlineStr">
        <is>
          <t>devise</t>
        </is>
      </c>
      <c r="L1" s="1" t="inlineStr">
        <is>
          <t>prime_devise</t>
        </is>
      </c>
      <c r="M1" s="1" t="inlineStr">
        <is>
          <t>capital_devise</t>
        </is>
      </c>
      <c r="N1" s="1" t="inlineStr">
        <is>
          <t>taux_vers_eur</t>
        </is>
      </c>
      <c r="O1" s="1" t="inlineStr">
        <is>
          <t>prime_eur</t>
        </is>
      </c>
      <c r="P1" s="1" t="inlineStr">
        <is>
          <t>capital_eur</t>
        </is>
      </c>
    </row>
    <row r="2">
      <c r="A2" s="5" t="inlineStr">
        <is>
          <t>C003</t>
        </is>
      </c>
      <c r="B2">
        <f>VLOOKUP($A$2,Clients!$A$2:$G$7,2,FALSE)</f>
        <v/>
      </c>
      <c r="C2">
        <f>VLOOKUP($A$2,Clients!$A$2:$G$7,3,FALSE)</f>
        <v/>
      </c>
      <c r="D2">
        <f>VLOOKUP($A$2,Clients!$A$2:$G$7,4,FALSE)</f>
        <v/>
      </c>
      <c r="E2">
        <f>VLOOKUP($A$2,Clients!$A$2:$G$7,5,FALSE)</f>
        <v/>
      </c>
      <c r="F2" s="2">
        <f>VLOOKUP($A$2,Clients!$A$2:$G$7,6,FALSE)</f>
        <v/>
      </c>
      <c r="G2">
        <f>VLOOKUP($A$2,Clients!$A$2:$G$7,7,FALSE)</f>
        <v/>
      </c>
      <c r="H2">
        <f>INDEX(Contrats!$A$2:$A$7,MATCH($A$2,Contrats!$B$2:$B$7,0))</f>
        <v/>
      </c>
      <c r="I2">
        <f>VLOOKUP($H$2,Contrats!$A$2:$G$7,3,FALSE)</f>
        <v/>
      </c>
      <c r="J2" s="2">
        <f>VLOOKUP($H$2,Contrats!$A$2:$G$7,4,FALSE)</f>
        <v/>
      </c>
      <c r="K2">
        <f>VLOOKUP($H$2,Contrats!$A$2:$G$7,5,FALSE)</f>
        <v/>
      </c>
      <c r="L2" s="3">
        <f>VLOOKUP($H$2,Contrats!$A$2:$G$7,6,FALSE)</f>
        <v/>
      </c>
      <c r="M2" s="3">
        <f>VLOOKUP($H$2,Contrats!$A$2:$G$7,7,FALSE)</f>
        <v/>
      </c>
      <c r="N2" s="4">
        <f>VLOOKUP($K$2,Devises!$A$2:$D$5,3,FALSE)</f>
        <v/>
      </c>
      <c r="O2" s="3">
        <f>L2*N2</f>
        <v/>
      </c>
      <c r="P2" s="3">
        <f>M2*N2</f>
        <v/>
      </c>
    </row>
    <row r="4">
      <c r="A4" s="6" t="inlineStr">
        <is>
          <t>La clé se change en A2 (liste des clients). Chaque cellule de la ligne 2 est une recherche dans une table.</t>
        </is>
      </c>
    </row>
  </sheetData>
  <dataValidations count="1">
    <dataValidation sqref="A2" showDropDown="0" showInputMessage="0" showErrorMessage="0" allowBlank="0" type="list">
      <formula1>=Clients!$A$2:$A$7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3" customWidth="1" min="3" max="3"/>
    <col width="18" customWidth="1" min="4" max="4"/>
    <col width="34" customWidth="1" min="5" max="5"/>
    <col width="3" customWidth="1" min="6" max="6"/>
  </cols>
  <sheetData>
    <row r="2" ht="28" customHeight="1">
      <c r="B2" s="7" t="inlineStr">
        <is>
          <t>Calcul : la prime chargée, en euros</t>
        </is>
      </c>
    </row>
    <row r="3">
      <c r="B3" s="6" t="inlineStr">
        <is>
          <t>Une fonction : des entrées déclarées, des étapes qui lisent la précédente, une sortie.</t>
        </is>
      </c>
    </row>
    <row r="5" ht="22" customHeight="1">
      <c r="B5" s="8" t="inlineStr">
        <is>
          <t>Entrées</t>
        </is>
      </c>
    </row>
    <row r="6" ht="20" customHeight="1">
      <c r="B6" s="9" t="inlineStr">
        <is>
          <t>cle_client</t>
        </is>
      </c>
      <c r="D6" s="10">
        <f>Liaison!$A$2</f>
        <v/>
      </c>
      <c r="E6" s="11" t="inlineStr">
        <is>
          <t>la clé, depuis Liaison</t>
        </is>
      </c>
    </row>
    <row r="7" ht="20" customHeight="1">
      <c r="B7" s="9" t="inlineStr">
        <is>
          <t>prime_devise</t>
        </is>
      </c>
      <c r="D7" s="12">
        <f>Liaison!$L$2</f>
        <v/>
      </c>
      <c r="E7" s="11" t="inlineStr">
        <is>
          <t>la prime du contrat, depuis Liaison</t>
        </is>
      </c>
    </row>
    <row r="8" ht="20" customHeight="1">
      <c r="B8" s="9" t="inlineStr">
        <is>
          <t>devise</t>
        </is>
      </c>
      <c r="D8" s="10">
        <f>Liaison!$K$2</f>
        <v/>
      </c>
      <c r="E8" s="11" t="inlineStr">
        <is>
          <t>la devise du contrat, depuis Liaison</t>
        </is>
      </c>
    </row>
    <row r="9" ht="20" customHeight="1">
      <c r="B9" s="9" t="inlineStr">
        <is>
          <t>taux_chargement</t>
        </is>
      </c>
      <c r="D9" s="13" t="n">
        <v>0.12</v>
      </c>
      <c r="E9" s="11" t="inlineStr">
        <is>
          <t>paramètre du calcul, à saisir</t>
        </is>
      </c>
    </row>
    <row r="11" ht="22" customHeight="1">
      <c r="B11" s="8" t="inlineStr">
        <is>
          <t>Étapes</t>
        </is>
      </c>
    </row>
    <row r="12" ht="20" customHeight="1">
      <c r="B12" s="9" t="inlineStr">
        <is>
          <t>1. Récupérer le cours de la devise</t>
        </is>
      </c>
      <c r="D12" s="14">
        <f>VLOOKUP($D$8,Devises!$A$2:$D$5,3,FALSE)</f>
        <v/>
      </c>
      <c r="E12" s="11" t="inlineStr">
        <is>
          <t>RECHERCHEV dans l'onglet Devises</t>
        </is>
      </c>
    </row>
    <row r="13">
      <c r="B13" s="15" t="inlineStr">
        <is>
          <t>▼</t>
        </is>
      </c>
    </row>
    <row r="14" ht="20" customHeight="1">
      <c r="B14" s="9" t="inlineStr">
        <is>
          <t>2. Convertir la prime en euros</t>
        </is>
      </c>
      <c r="D14" s="12">
        <f>D7*D12</f>
        <v/>
      </c>
      <c r="E14" s="11" t="inlineStr">
        <is>
          <t>prime_devise × cours</t>
        </is>
      </c>
    </row>
    <row r="15">
      <c r="B15" s="15" t="inlineStr">
        <is>
          <t>▼</t>
        </is>
      </c>
    </row>
    <row r="16" ht="20" customHeight="1">
      <c r="B16" s="9" t="inlineStr">
        <is>
          <t>3. Calculer le chargement</t>
        </is>
      </c>
      <c r="D16" s="12">
        <f>D14*D9</f>
        <v/>
      </c>
      <c r="E16" s="11" t="inlineStr">
        <is>
          <t>prime en euros × taux_chargement</t>
        </is>
      </c>
    </row>
    <row r="17">
      <c r="B17" s="15" t="inlineStr">
        <is>
          <t>▼</t>
        </is>
      </c>
    </row>
    <row r="18" ht="20" customHeight="1">
      <c r="B18" s="9" t="inlineStr">
        <is>
          <t>4. Ajouter le chargement</t>
        </is>
      </c>
      <c r="D18" s="12">
        <f>D14+D16</f>
        <v/>
      </c>
      <c r="E18" s="11" t="inlineStr">
        <is>
          <t>prime en euros + chargement</t>
        </is>
      </c>
    </row>
    <row r="20" ht="22" customHeight="1">
      <c r="B20" s="16" t="inlineStr">
        <is>
          <t>Sortie</t>
        </is>
      </c>
    </row>
    <row r="21" ht="20" customHeight="1">
      <c r="B21" s="9" t="inlineStr">
        <is>
          <t>prime_chargee_eur</t>
        </is>
      </c>
      <c r="D21" s="12">
        <f>D18</f>
        <v/>
      </c>
      <c r="E21" s="11" t="inlineStr">
        <is>
          <t>lue par l'onglet Écran, notée au Journal des calculs</t>
        </is>
      </c>
    </row>
  </sheetData>
  <mergeCells count="5">
    <mergeCell ref="B11:E11"/>
    <mergeCell ref="B3:E3"/>
    <mergeCell ref="B5:E5"/>
    <mergeCell ref="B20:E20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2" ht="30" customHeight="1">
      <c r="B2" s="17" t="inlineStr">
        <is>
          <t>Fiche client</t>
        </is>
      </c>
    </row>
    <row r="3">
      <c r="B3" s="6">
        <f>"Client "&amp;Liaison!$A$2&amp;", contrat "&amp;Liaison!$H$2</f>
        <v/>
      </c>
    </row>
    <row r="5" ht="22" customHeight="1">
      <c r="B5" s="8" t="inlineStr">
        <is>
          <t>Client</t>
        </is>
      </c>
    </row>
    <row r="6" ht="20" customHeight="1">
      <c r="B6" s="9" t="inlineStr">
        <is>
          <t>Nom</t>
        </is>
      </c>
      <c r="D6" s="18">
        <f>Liaison!$C$2&amp;" "&amp;Liaison!$B$2</f>
        <v/>
      </c>
      <c r="E6" s="19" t="n"/>
      <c r="F6" s="19" t="n"/>
    </row>
    <row r="7" ht="20" customHeight="1">
      <c r="B7" s="9" t="inlineStr">
        <is>
          <t>Ville</t>
        </is>
      </c>
      <c r="D7" s="18">
        <f>Liaison!$D$2&amp;", "&amp;Liaison!$E$2</f>
        <v/>
      </c>
      <c r="E7" s="19" t="n"/>
      <c r="F7" s="19" t="n"/>
    </row>
    <row r="8" ht="20" customHeight="1">
      <c r="B8" s="9" t="inlineStr">
        <is>
          <t>Date de naissance</t>
        </is>
      </c>
      <c r="D8" s="20">
        <f>Liaison!$F$2</f>
        <v/>
      </c>
      <c r="E8" s="19" t="n"/>
      <c r="F8" s="19" t="n"/>
    </row>
    <row r="9" ht="20" customHeight="1">
      <c r="B9" s="9" t="inlineStr">
        <is>
          <t>Segment</t>
        </is>
      </c>
      <c r="D9" s="18">
        <f>Liaison!$G$2</f>
        <v/>
      </c>
      <c r="E9" s="19" t="n"/>
      <c r="F9" s="19" t="n"/>
    </row>
    <row r="11" ht="22" customHeight="1">
      <c r="B11" s="8" t="inlineStr">
        <is>
          <t>Contrat</t>
        </is>
      </c>
    </row>
    <row r="12" ht="20" customHeight="1">
      <c r="B12" s="9" t="inlineStr">
        <is>
          <t>Produit</t>
        </is>
      </c>
      <c r="D12" s="18">
        <f>Liaison!$I$2</f>
        <v/>
      </c>
      <c r="E12" s="19" t="n"/>
      <c r="F12" s="19" t="n"/>
    </row>
    <row r="13" ht="20" customHeight="1">
      <c r="B13" s="9" t="inlineStr">
        <is>
          <t>Date d'effet</t>
        </is>
      </c>
      <c r="D13" s="20">
        <f>Liaison!$J$2</f>
        <v/>
      </c>
      <c r="E13" s="19" t="n"/>
      <c r="F13" s="19" t="n"/>
    </row>
    <row r="14" ht="20" customHeight="1">
      <c r="B14" s="9" t="inlineStr">
        <is>
          <t>Devise</t>
        </is>
      </c>
      <c r="D14" s="18">
        <f>Liaison!$K$2</f>
        <v/>
      </c>
      <c r="E14" s="19" t="n"/>
      <c r="F14" s="19" t="n"/>
    </row>
    <row r="15" ht="20" customHeight="1">
      <c r="B15" s="9" t="inlineStr">
        <is>
          <t>Prime annuelle, en devise</t>
        </is>
      </c>
      <c r="D15" s="21">
        <f>Liaison!$L$2</f>
        <v/>
      </c>
      <c r="E15" s="19" t="n"/>
      <c r="F15" s="19" t="n"/>
    </row>
    <row r="16" ht="20" customHeight="1">
      <c r="B16" s="9" t="inlineStr">
        <is>
          <t>Prime annuelle, en euros</t>
        </is>
      </c>
      <c r="D16" s="21">
        <f>Liaison!$O$2</f>
        <v/>
      </c>
      <c r="E16" s="19" t="n"/>
      <c r="F16" s="19" t="n"/>
    </row>
    <row r="17" ht="20" customHeight="1">
      <c r="B17" s="9" t="inlineStr">
        <is>
          <t>Capital assuré, en euros</t>
        </is>
      </c>
      <c r="D17" s="21">
        <f>Liaison!$P$2</f>
        <v/>
      </c>
      <c r="E17" s="19" t="n"/>
      <c r="F17" s="19" t="n"/>
    </row>
    <row r="18" ht="20" customHeight="1">
      <c r="B18" s="9" t="inlineStr">
        <is>
          <t>Prime chargée, en euros</t>
        </is>
      </c>
      <c r="D18" s="21">
        <f>Calcul!$D$21</f>
        <v/>
      </c>
      <c r="E18" s="19" t="n"/>
      <c r="F18" s="19" t="n"/>
    </row>
    <row r="20">
      <c r="B20" s="22" t="inlineStr">
        <is>
          <t>Chaque valeur de cet écran pointe vers une cellule de l'onglet Liaison, et la prime chargée vers la sortie de l'onglet Calcul ; pour changer de client, changez la clé en Liaison!A2. Données et cours de change fictifs.</t>
        </is>
      </c>
    </row>
    <row r="21"/>
  </sheetData>
  <mergeCells count="16">
    <mergeCell ref="D13:F13"/>
    <mergeCell ref="D14:F14"/>
    <mergeCell ref="B2:F2"/>
    <mergeCell ref="B11:F11"/>
    <mergeCell ref="B20:F21"/>
    <mergeCell ref="B3:F3"/>
    <mergeCell ref="B5:F5"/>
    <mergeCell ref="D12:F12"/>
    <mergeCell ref="D18:F18"/>
    <mergeCell ref="D9:F9"/>
    <mergeCell ref="D17:F17"/>
    <mergeCell ref="D7:F7"/>
    <mergeCell ref="D8:F8"/>
    <mergeCell ref="D6:F6"/>
    <mergeCell ref="D15:F15"/>
    <mergeCell ref="D16:F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6" customWidth="1" min="6" max="6"/>
    <col width="17" customWidth="1" min="7" max="7"/>
    <col width="19" customWidth="1" min="8" max="8"/>
    <col width="21" customWidth="1" min="9" max="9"/>
  </cols>
  <sheetData>
    <row r="1">
      <c r="A1" s="1" t="inlineStr">
        <is>
          <t>id_calcul</t>
        </is>
      </c>
      <c r="B1" s="1" t="inlineStr">
        <is>
          <t>date_calcul</t>
        </is>
      </c>
      <c r="C1" s="1" t="inlineStr">
        <is>
          <t>cle_client</t>
        </is>
      </c>
      <c r="D1" s="1" t="inlineStr">
        <is>
          <t>id_contrat</t>
        </is>
      </c>
      <c r="E1" s="1" t="inlineStr">
        <is>
          <t>devise</t>
        </is>
      </c>
      <c r="F1" s="1" t="inlineStr">
        <is>
          <t>prime_devise</t>
        </is>
      </c>
      <c r="G1" s="1" t="inlineStr">
        <is>
          <t>taux_vers_eur</t>
        </is>
      </c>
      <c r="H1" s="1" t="inlineStr">
        <is>
          <t>taux_chargement</t>
        </is>
      </c>
      <c r="I1" s="1" t="inlineStr">
        <is>
          <t>prime_chargee_eur</t>
        </is>
      </c>
    </row>
    <row r="2">
      <c r="A2" t="inlineStr">
        <is>
          <t>J001</t>
        </is>
      </c>
      <c r="B2" s="2" t="n">
        <v>46314</v>
      </c>
      <c r="C2" t="inlineStr">
        <is>
          <t>C001</t>
        </is>
      </c>
      <c r="D2" t="inlineStr">
        <is>
          <t>K101</t>
        </is>
      </c>
      <c r="E2" t="inlineStr">
        <is>
          <t>EUR</t>
        </is>
      </c>
      <c r="F2" s="3" t="n">
        <v>420</v>
      </c>
      <c r="G2" s="4" t="n">
        <v>1</v>
      </c>
      <c r="H2" s="23" t="n">
        <v>0.12</v>
      </c>
      <c r="I2" s="3" t="n">
        <v>470.4</v>
      </c>
    </row>
    <row r="3">
      <c r="A3" t="inlineStr">
        <is>
          <t>J002</t>
        </is>
      </c>
      <c r="B3" s="2" t="n">
        <v>46314</v>
      </c>
      <c r="C3" t="inlineStr">
        <is>
          <t>C002</t>
        </is>
      </c>
      <c r="D3" t="inlineStr">
        <is>
          <t>K102</t>
        </is>
      </c>
      <c r="E3" t="inlineStr">
        <is>
          <t>EUR</t>
        </is>
      </c>
      <c r="F3" s="3" t="n">
        <v>2400</v>
      </c>
      <c r="G3" s="4" t="n">
        <v>1</v>
      </c>
      <c r="H3" s="23" t="n">
        <v>0.12</v>
      </c>
      <c r="I3" s="3" t="n">
        <v>2688</v>
      </c>
    </row>
    <row r="4">
      <c r="A4" t="inlineStr">
        <is>
          <t>J003</t>
        </is>
      </c>
      <c r="B4" s="2" t="n">
        <v>46314</v>
      </c>
      <c r="C4" t="inlineStr">
        <is>
          <t>C003</t>
        </is>
      </c>
      <c r="D4" t="inlineStr">
        <is>
          <t>K103</t>
        </is>
      </c>
      <c r="E4" t="inlineStr">
        <is>
          <t>CHF</t>
        </is>
      </c>
      <c r="F4" s="3" t="n">
        <v>12000</v>
      </c>
      <c r="G4" s="4" t="n">
        <v>1.06</v>
      </c>
      <c r="H4" s="23" t="n">
        <v>0.12</v>
      </c>
      <c r="I4" s="3" t="n">
        <v>14246.4</v>
      </c>
    </row>
    <row r="5">
      <c r="A5" t="inlineStr">
        <is>
          <t>J004</t>
        </is>
      </c>
      <c r="B5" s="2" t="n">
        <v>46314</v>
      </c>
      <c r="C5" t="inlineStr">
        <is>
          <t>C004</t>
        </is>
      </c>
      <c r="D5" t="inlineStr">
        <is>
          <t>K104</t>
        </is>
      </c>
      <c r="E5" t="inlineStr">
        <is>
          <t>EUR</t>
        </is>
      </c>
      <c r="F5" s="3" t="n">
        <v>610</v>
      </c>
      <c r="G5" s="4" t="n">
        <v>1</v>
      </c>
      <c r="H5" s="23" t="n">
        <v>0.12</v>
      </c>
      <c r="I5" s="3" t="n">
        <v>683.2</v>
      </c>
    </row>
    <row r="6">
      <c r="A6" t="inlineStr">
        <is>
          <t>J005</t>
        </is>
      </c>
      <c r="B6" s="2" t="n">
        <v>46314</v>
      </c>
      <c r="C6" t="inlineStr">
        <is>
          <t>C005</t>
        </is>
      </c>
      <c r="D6" t="inlineStr">
        <is>
          <t>K105</t>
        </is>
      </c>
      <c r="E6" t="inlineStr">
        <is>
          <t>GBP</t>
        </is>
      </c>
      <c r="F6" s="3" t="n">
        <v>1800</v>
      </c>
      <c r="G6" s="4" t="n">
        <v>1.17</v>
      </c>
      <c r="H6" s="23" t="n">
        <v>0.12</v>
      </c>
      <c r="I6" s="3" t="n">
        <v>2358.72</v>
      </c>
    </row>
    <row r="7">
      <c r="A7" t="inlineStr">
        <is>
          <t>J006</t>
        </is>
      </c>
      <c r="B7" s="2" t="n">
        <v>46314</v>
      </c>
      <c r="C7" t="inlineStr">
        <is>
          <t>C006</t>
        </is>
      </c>
      <c r="D7" t="inlineStr">
        <is>
          <t>K106</t>
        </is>
      </c>
      <c r="E7" t="inlineStr">
        <is>
          <t>EUR</t>
        </is>
      </c>
      <c r="F7" s="3" t="n">
        <v>1350</v>
      </c>
      <c r="G7" s="4" t="n">
        <v>1</v>
      </c>
      <c r="H7" s="23" t="n">
        <v>0.12</v>
      </c>
      <c r="I7" s="3" t="n">
        <v>1512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4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id_jeu</t>
        </is>
      </c>
      <c r="B1" s="1" t="inlineStr">
        <is>
          <t>nom</t>
        </is>
      </c>
      <c r="C1" s="1" t="inlineStr">
        <is>
          <t>taux_chargement</t>
        </is>
      </c>
      <c r="D1" s="1" t="inlineStr">
        <is>
          <t>cours_chf</t>
        </is>
      </c>
      <c r="E1" s="1" t="inlineStr">
        <is>
          <t>cours_gbp</t>
        </is>
      </c>
      <c r="F1" s="1" t="inlineStr">
        <is>
          <t>cours_usd</t>
        </is>
      </c>
      <c r="G1" s="1" t="inlineStr">
        <is>
          <t>ce_qui_change</t>
        </is>
      </c>
    </row>
    <row r="2">
      <c r="A2" t="inlineStr">
        <is>
          <t>JE01</t>
        </is>
      </c>
      <c r="B2" t="inlineStr">
        <is>
          <t>Référence 2025</t>
        </is>
      </c>
      <c r="C2" s="23" t="n">
        <v>0.12</v>
      </c>
      <c r="D2" s="4" t="n">
        <v>1.06</v>
      </c>
      <c r="E2" s="4" t="n">
        <v>1.17</v>
      </c>
      <c r="F2" s="4" t="n">
        <v>0.92</v>
      </c>
      <c r="G2" t="inlineStr">
        <is>
          <t>Référence : cours du 31/12/2025, chargement 12 %</t>
        </is>
      </c>
    </row>
    <row r="3">
      <c r="A3" t="inlineStr">
        <is>
          <t>JE02</t>
        </is>
      </c>
      <c r="B3" t="inlineStr">
        <is>
          <t>Chargement 14 %</t>
        </is>
      </c>
      <c r="C3" s="23" t="n">
        <v>0.14</v>
      </c>
      <c r="D3" s="4" t="n">
        <v>1.06</v>
      </c>
      <c r="E3" s="4" t="n">
        <v>1.17</v>
      </c>
      <c r="F3" s="4" t="n">
        <v>0.92</v>
      </c>
      <c r="G3" t="inlineStr">
        <is>
          <t>Le chargement passe à 14 %</t>
        </is>
      </c>
    </row>
    <row r="4">
      <c r="A4" t="inlineStr">
        <is>
          <t>JE03</t>
        </is>
      </c>
      <c r="B4" t="inlineStr">
        <is>
          <t>Livre à 1,12</t>
        </is>
      </c>
      <c r="C4" s="23" t="n">
        <v>0.12</v>
      </c>
      <c r="D4" s="4" t="n">
        <v>1.06</v>
      </c>
      <c r="E4" s="4" t="n">
        <v>1.12</v>
      </c>
      <c r="F4" s="4" t="n">
        <v>0.92</v>
      </c>
      <c r="G4" t="inlineStr">
        <is>
          <t>La livre baisse à 1,12</t>
        </is>
      </c>
    </row>
    <row r="5">
      <c r="A5" t="inlineStr">
        <is>
          <t>JE04</t>
        </is>
      </c>
      <c r="B5" t="inlineStr">
        <is>
          <t>Chargement 14 %, livre à 1,12</t>
        </is>
      </c>
      <c r="C5" s="23" t="n">
        <v>0.14</v>
      </c>
      <c r="D5" s="4" t="n">
        <v>1.06</v>
      </c>
      <c r="E5" s="4" t="n">
        <v>1.12</v>
      </c>
      <c r="F5" s="4" t="n">
        <v>0.92</v>
      </c>
      <c r="G5" t="inlineStr">
        <is>
          <t>Les deux changements ensemble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  <col width="14" customWidth="1" min="5" max="5"/>
  </cols>
  <sheetData>
    <row r="1">
      <c r="A1" s="1" t="inlineStr">
        <is>
          <t>id_jeu</t>
        </is>
      </c>
      <c r="B1" s="1" t="inlineStr">
        <is>
          <t>id_contrat</t>
        </is>
      </c>
      <c r="C1" s="1" t="inlineStr">
        <is>
          <t>produit</t>
        </is>
      </c>
      <c r="D1" s="1" t="inlineStr">
        <is>
          <t>indicateur</t>
        </is>
      </c>
      <c r="E1" s="1" t="inlineStr">
        <is>
          <t>valeur</t>
        </is>
      </c>
    </row>
    <row r="2">
      <c r="A2" t="inlineStr">
        <is>
          <t>JE01</t>
        </is>
      </c>
      <c r="B2" t="inlineStr">
        <is>
          <t>K101</t>
        </is>
      </c>
      <c r="C2" t="inlineStr">
        <is>
          <t>Habitation</t>
        </is>
      </c>
      <c r="D2" t="inlineStr">
        <is>
          <t>prime_chargee_eur</t>
        </is>
      </c>
      <c r="E2" s="3">
        <f>ROUND(INDEX(Contrats!$F$2:$F$7,MATCH($B2,Contrats!$A$2:$A$7,0))*1*(1+INDEX('Jeux d''entrée'!$C$2:$C$5,MATCH($A2,'Jeux d''entrée'!$A$2:$A$5,0))),2)</f>
        <v/>
      </c>
    </row>
    <row r="3">
      <c r="A3" t="inlineStr">
        <is>
          <t>JE01</t>
        </is>
      </c>
      <c r="B3" t="inlineStr">
        <is>
          <t>K102</t>
        </is>
      </c>
      <c r="C3" t="inlineStr">
        <is>
          <t>Épargne en euros</t>
        </is>
      </c>
      <c r="D3" t="inlineStr">
        <is>
          <t>prime_chargee_eur</t>
        </is>
      </c>
      <c r="E3" s="3">
        <f>ROUND(INDEX(Contrats!$F$2:$F$7,MATCH($B3,Contrats!$A$2:$A$7,0))*1*(1+INDEX('Jeux d''entrée'!$C$2:$C$5,MATCH($A3,'Jeux d''entrée'!$A$2:$A$5,0))),2)</f>
        <v/>
      </c>
    </row>
    <row r="4">
      <c r="A4" t="inlineStr">
        <is>
          <t>JE01</t>
        </is>
      </c>
      <c r="B4" t="inlineStr">
        <is>
          <t>K103</t>
        </is>
      </c>
      <c r="C4" t="inlineStr">
        <is>
          <t>Assurance vie en unités de compte</t>
        </is>
      </c>
      <c r="D4" t="inlineStr">
        <is>
          <t>prime_chargee_eur</t>
        </is>
      </c>
      <c r="E4" s="3">
        <f>ROUND(INDEX(Contrats!$F$2:$F$7,MATCH($B4,Contrats!$A$2:$A$7,0))*INDEX('Jeux d''entrée'!$D$2:$D$5,MATCH($A4,'Jeux d''entrée'!$A$2:$A$5,0))*(1+INDEX('Jeux d''entrée'!$C$2:$C$5,MATCH($A4,'Jeux d''entrée'!$A$2:$A$5,0))),2)</f>
        <v/>
      </c>
    </row>
    <row r="5">
      <c r="A5" t="inlineStr">
        <is>
          <t>JE01</t>
        </is>
      </c>
      <c r="B5" t="inlineStr">
        <is>
          <t>K104</t>
        </is>
      </c>
      <c r="C5" t="inlineStr">
        <is>
          <t>Automobile</t>
        </is>
      </c>
      <c r="D5" t="inlineStr">
        <is>
          <t>prime_chargee_eur</t>
        </is>
      </c>
      <c r="E5" s="3">
        <f>ROUND(INDEX(Contrats!$F$2:$F$7,MATCH($B5,Contrats!$A$2:$A$7,0))*1*(1+INDEX('Jeux d''entrée'!$C$2:$C$5,MATCH($A5,'Jeux d''entrée'!$A$2:$A$5,0))),2)</f>
        <v/>
      </c>
    </row>
    <row r="6">
      <c r="A6" t="inlineStr">
        <is>
          <t>JE01</t>
        </is>
      </c>
      <c r="B6" t="inlineStr">
        <is>
          <t>K105</t>
        </is>
      </c>
      <c r="C6" t="inlineStr">
        <is>
          <t>Prévoyance</t>
        </is>
      </c>
      <c r="D6" t="inlineStr">
        <is>
          <t>prime_chargee_eur</t>
        </is>
      </c>
      <c r="E6" s="3">
        <f>ROUND(INDEX(Contrats!$F$2:$F$7,MATCH($B6,Contrats!$A$2:$A$7,0))*INDEX('Jeux d''entrée'!$E$2:$E$5,MATCH($A6,'Jeux d''entrée'!$A$2:$A$5,0))*(1+INDEX('Jeux d''entrée'!$C$2:$C$5,MATCH($A6,'Jeux d''entrée'!$A$2:$A$5,0))),2)</f>
        <v/>
      </c>
    </row>
    <row r="7">
      <c r="A7" t="inlineStr">
        <is>
          <t>JE01</t>
        </is>
      </c>
      <c r="B7" t="inlineStr">
        <is>
          <t>K106</t>
        </is>
      </c>
      <c r="C7" t="inlineStr">
        <is>
          <t>Responsabilité civile professionnelle</t>
        </is>
      </c>
      <c r="D7" t="inlineStr">
        <is>
          <t>prime_chargee_eur</t>
        </is>
      </c>
      <c r="E7" s="3">
        <f>ROUND(INDEX(Contrats!$F$2:$F$7,MATCH($B7,Contrats!$A$2:$A$7,0))*1*(1+INDEX('Jeux d''entrée'!$C$2:$C$5,MATCH($A7,'Jeux d''entrée'!$A$2:$A$5,0))),2)</f>
        <v/>
      </c>
    </row>
    <row r="8">
      <c r="A8" t="inlineStr">
        <is>
          <t>JE02</t>
        </is>
      </c>
      <c r="B8" t="inlineStr">
        <is>
          <t>K101</t>
        </is>
      </c>
      <c r="C8" t="inlineStr">
        <is>
          <t>Habitation</t>
        </is>
      </c>
      <c r="D8" t="inlineStr">
        <is>
          <t>prime_chargee_eur</t>
        </is>
      </c>
      <c r="E8" s="3">
        <f>ROUND(INDEX(Contrats!$F$2:$F$7,MATCH($B8,Contrats!$A$2:$A$7,0))*1*(1+INDEX('Jeux d''entrée'!$C$2:$C$5,MATCH($A8,'Jeux d''entrée'!$A$2:$A$5,0))),2)</f>
        <v/>
      </c>
    </row>
    <row r="9">
      <c r="A9" t="inlineStr">
        <is>
          <t>JE02</t>
        </is>
      </c>
      <c r="B9" t="inlineStr">
        <is>
          <t>K102</t>
        </is>
      </c>
      <c r="C9" t="inlineStr">
        <is>
          <t>Épargne en euros</t>
        </is>
      </c>
      <c r="D9" t="inlineStr">
        <is>
          <t>prime_chargee_eur</t>
        </is>
      </c>
      <c r="E9" s="3">
        <f>ROUND(INDEX(Contrats!$F$2:$F$7,MATCH($B9,Contrats!$A$2:$A$7,0))*1*(1+INDEX('Jeux d''entrée'!$C$2:$C$5,MATCH($A9,'Jeux d''entrée'!$A$2:$A$5,0))),2)</f>
        <v/>
      </c>
    </row>
    <row r="10">
      <c r="A10" t="inlineStr">
        <is>
          <t>JE02</t>
        </is>
      </c>
      <c r="B10" t="inlineStr">
        <is>
          <t>K103</t>
        </is>
      </c>
      <c r="C10" t="inlineStr">
        <is>
          <t>Assurance vie en unités de compte</t>
        </is>
      </c>
      <c r="D10" t="inlineStr">
        <is>
          <t>prime_chargee_eur</t>
        </is>
      </c>
      <c r="E10" s="3">
        <f>ROUND(INDEX(Contrats!$F$2:$F$7,MATCH($B10,Contrats!$A$2:$A$7,0))*INDEX('Jeux d''entrée'!$D$2:$D$5,MATCH($A10,'Jeux d''entrée'!$A$2:$A$5,0))*(1+INDEX('Jeux d''entrée'!$C$2:$C$5,MATCH($A10,'Jeux d''entrée'!$A$2:$A$5,0))),2)</f>
        <v/>
      </c>
    </row>
    <row r="11">
      <c r="A11" t="inlineStr">
        <is>
          <t>JE02</t>
        </is>
      </c>
      <c r="B11" t="inlineStr">
        <is>
          <t>K104</t>
        </is>
      </c>
      <c r="C11" t="inlineStr">
        <is>
          <t>Automobile</t>
        </is>
      </c>
      <c r="D11" t="inlineStr">
        <is>
          <t>prime_chargee_eur</t>
        </is>
      </c>
      <c r="E11" s="3">
        <f>ROUND(INDEX(Contrats!$F$2:$F$7,MATCH($B11,Contrats!$A$2:$A$7,0))*1*(1+INDEX('Jeux d''entrée'!$C$2:$C$5,MATCH($A11,'Jeux d''entrée'!$A$2:$A$5,0))),2)</f>
        <v/>
      </c>
    </row>
    <row r="12">
      <c r="A12" t="inlineStr">
        <is>
          <t>JE02</t>
        </is>
      </c>
      <c r="B12" t="inlineStr">
        <is>
          <t>K105</t>
        </is>
      </c>
      <c r="C12" t="inlineStr">
        <is>
          <t>Prévoyance</t>
        </is>
      </c>
      <c r="D12" t="inlineStr">
        <is>
          <t>prime_chargee_eur</t>
        </is>
      </c>
      <c r="E12" s="3">
        <f>ROUND(INDEX(Contrats!$F$2:$F$7,MATCH($B12,Contrats!$A$2:$A$7,0))*INDEX('Jeux d''entrée'!$E$2:$E$5,MATCH($A12,'Jeux d''entrée'!$A$2:$A$5,0))*(1+INDEX('Jeux d''entrée'!$C$2:$C$5,MATCH($A12,'Jeux d''entrée'!$A$2:$A$5,0))),2)</f>
        <v/>
      </c>
    </row>
    <row r="13">
      <c r="A13" t="inlineStr">
        <is>
          <t>JE02</t>
        </is>
      </c>
      <c r="B13" t="inlineStr">
        <is>
          <t>K106</t>
        </is>
      </c>
      <c r="C13" t="inlineStr">
        <is>
          <t>Responsabilité civile professionnelle</t>
        </is>
      </c>
      <c r="D13" t="inlineStr">
        <is>
          <t>prime_chargee_eur</t>
        </is>
      </c>
      <c r="E13" s="3">
        <f>ROUND(INDEX(Contrats!$F$2:$F$7,MATCH($B13,Contrats!$A$2:$A$7,0))*1*(1+INDEX('Jeux d''entrée'!$C$2:$C$5,MATCH($A13,'Jeux d''entrée'!$A$2:$A$5,0))),2)</f>
        <v/>
      </c>
    </row>
    <row r="14">
      <c r="A14" t="inlineStr">
        <is>
          <t>JE03</t>
        </is>
      </c>
      <c r="B14" t="inlineStr">
        <is>
          <t>K101</t>
        </is>
      </c>
      <c r="C14" t="inlineStr">
        <is>
          <t>Habitation</t>
        </is>
      </c>
      <c r="D14" t="inlineStr">
        <is>
          <t>prime_chargee_eur</t>
        </is>
      </c>
      <c r="E14" s="3">
        <f>ROUND(INDEX(Contrats!$F$2:$F$7,MATCH($B14,Contrats!$A$2:$A$7,0))*1*(1+INDEX('Jeux d''entrée'!$C$2:$C$5,MATCH($A14,'Jeux d''entrée'!$A$2:$A$5,0))),2)</f>
        <v/>
      </c>
    </row>
    <row r="15">
      <c r="A15" t="inlineStr">
        <is>
          <t>JE03</t>
        </is>
      </c>
      <c r="B15" t="inlineStr">
        <is>
          <t>K102</t>
        </is>
      </c>
      <c r="C15" t="inlineStr">
        <is>
          <t>Épargne en euros</t>
        </is>
      </c>
      <c r="D15" t="inlineStr">
        <is>
          <t>prime_chargee_eur</t>
        </is>
      </c>
      <c r="E15" s="3">
        <f>ROUND(INDEX(Contrats!$F$2:$F$7,MATCH($B15,Contrats!$A$2:$A$7,0))*1*(1+INDEX('Jeux d''entrée'!$C$2:$C$5,MATCH($A15,'Jeux d''entrée'!$A$2:$A$5,0))),2)</f>
        <v/>
      </c>
    </row>
    <row r="16">
      <c r="A16" t="inlineStr">
        <is>
          <t>JE03</t>
        </is>
      </c>
      <c r="B16" t="inlineStr">
        <is>
          <t>K103</t>
        </is>
      </c>
      <c r="C16" t="inlineStr">
        <is>
          <t>Assurance vie en unités de compte</t>
        </is>
      </c>
      <c r="D16" t="inlineStr">
        <is>
          <t>prime_chargee_eur</t>
        </is>
      </c>
      <c r="E16" s="3">
        <f>ROUND(INDEX(Contrats!$F$2:$F$7,MATCH($B16,Contrats!$A$2:$A$7,0))*INDEX('Jeux d''entrée'!$D$2:$D$5,MATCH($A16,'Jeux d''entrée'!$A$2:$A$5,0))*(1+INDEX('Jeux d''entrée'!$C$2:$C$5,MATCH($A16,'Jeux d''entrée'!$A$2:$A$5,0))),2)</f>
        <v/>
      </c>
    </row>
    <row r="17">
      <c r="A17" t="inlineStr">
        <is>
          <t>JE03</t>
        </is>
      </c>
      <c r="B17" t="inlineStr">
        <is>
          <t>K104</t>
        </is>
      </c>
      <c r="C17" t="inlineStr">
        <is>
          <t>Automobile</t>
        </is>
      </c>
      <c r="D17" t="inlineStr">
        <is>
          <t>prime_chargee_eur</t>
        </is>
      </c>
      <c r="E17" s="3">
        <f>ROUND(INDEX(Contrats!$F$2:$F$7,MATCH($B17,Contrats!$A$2:$A$7,0))*1*(1+INDEX('Jeux d''entrée'!$C$2:$C$5,MATCH($A17,'Jeux d''entrée'!$A$2:$A$5,0))),2)</f>
        <v/>
      </c>
    </row>
    <row r="18">
      <c r="A18" t="inlineStr">
        <is>
          <t>JE03</t>
        </is>
      </c>
      <c r="B18" t="inlineStr">
        <is>
          <t>K105</t>
        </is>
      </c>
      <c r="C18" t="inlineStr">
        <is>
          <t>Prévoyance</t>
        </is>
      </c>
      <c r="D18" t="inlineStr">
        <is>
          <t>prime_chargee_eur</t>
        </is>
      </c>
      <c r="E18" s="3">
        <f>ROUND(INDEX(Contrats!$F$2:$F$7,MATCH($B18,Contrats!$A$2:$A$7,0))*INDEX('Jeux d''entrée'!$E$2:$E$5,MATCH($A18,'Jeux d''entrée'!$A$2:$A$5,0))*(1+INDEX('Jeux d''entrée'!$C$2:$C$5,MATCH($A18,'Jeux d''entrée'!$A$2:$A$5,0))),2)</f>
        <v/>
      </c>
    </row>
    <row r="19">
      <c r="A19" t="inlineStr">
        <is>
          <t>JE03</t>
        </is>
      </c>
      <c r="B19" t="inlineStr">
        <is>
          <t>K106</t>
        </is>
      </c>
      <c r="C19" t="inlineStr">
        <is>
          <t>Responsabilité civile professionnelle</t>
        </is>
      </c>
      <c r="D19" t="inlineStr">
        <is>
          <t>prime_chargee_eur</t>
        </is>
      </c>
      <c r="E19" s="3">
        <f>ROUND(INDEX(Contrats!$F$2:$F$7,MATCH($B19,Contrats!$A$2:$A$7,0))*1*(1+INDEX('Jeux d''entrée'!$C$2:$C$5,MATCH($A19,'Jeux d''entrée'!$A$2:$A$5,0))),2)</f>
        <v/>
      </c>
    </row>
    <row r="20">
      <c r="A20" t="inlineStr">
        <is>
          <t>JE04</t>
        </is>
      </c>
      <c r="B20" t="inlineStr">
        <is>
          <t>K101</t>
        </is>
      </c>
      <c r="C20" t="inlineStr">
        <is>
          <t>Habitation</t>
        </is>
      </c>
      <c r="D20" t="inlineStr">
        <is>
          <t>prime_chargee_eur</t>
        </is>
      </c>
      <c r="E20" s="3">
        <f>ROUND(INDEX(Contrats!$F$2:$F$7,MATCH($B20,Contrats!$A$2:$A$7,0))*1*(1+INDEX('Jeux d''entrée'!$C$2:$C$5,MATCH($A20,'Jeux d''entrée'!$A$2:$A$5,0))),2)</f>
        <v/>
      </c>
    </row>
    <row r="21">
      <c r="A21" t="inlineStr">
        <is>
          <t>JE04</t>
        </is>
      </c>
      <c r="B21" t="inlineStr">
        <is>
          <t>K102</t>
        </is>
      </c>
      <c r="C21" t="inlineStr">
        <is>
          <t>Épargne en euros</t>
        </is>
      </c>
      <c r="D21" t="inlineStr">
        <is>
          <t>prime_chargee_eur</t>
        </is>
      </c>
      <c r="E21" s="3">
        <f>ROUND(INDEX(Contrats!$F$2:$F$7,MATCH($B21,Contrats!$A$2:$A$7,0))*1*(1+INDEX('Jeux d''entrée'!$C$2:$C$5,MATCH($A21,'Jeux d''entrée'!$A$2:$A$5,0))),2)</f>
        <v/>
      </c>
    </row>
    <row r="22">
      <c r="A22" t="inlineStr">
        <is>
          <t>JE04</t>
        </is>
      </c>
      <c r="B22" t="inlineStr">
        <is>
          <t>K103</t>
        </is>
      </c>
      <c r="C22" t="inlineStr">
        <is>
          <t>Assurance vie en unités de compte</t>
        </is>
      </c>
      <c r="D22" t="inlineStr">
        <is>
          <t>prime_chargee_eur</t>
        </is>
      </c>
      <c r="E22" s="3">
        <f>ROUND(INDEX(Contrats!$F$2:$F$7,MATCH($B22,Contrats!$A$2:$A$7,0))*INDEX('Jeux d''entrée'!$D$2:$D$5,MATCH($A22,'Jeux d''entrée'!$A$2:$A$5,0))*(1+INDEX('Jeux d''entrée'!$C$2:$C$5,MATCH($A22,'Jeux d''entrée'!$A$2:$A$5,0))),2)</f>
        <v/>
      </c>
    </row>
    <row r="23">
      <c r="A23" t="inlineStr">
        <is>
          <t>JE04</t>
        </is>
      </c>
      <c r="B23" t="inlineStr">
        <is>
          <t>K104</t>
        </is>
      </c>
      <c r="C23" t="inlineStr">
        <is>
          <t>Automobile</t>
        </is>
      </c>
      <c r="D23" t="inlineStr">
        <is>
          <t>prime_chargee_eur</t>
        </is>
      </c>
      <c r="E23" s="3">
        <f>ROUND(INDEX(Contrats!$F$2:$F$7,MATCH($B23,Contrats!$A$2:$A$7,0))*1*(1+INDEX('Jeux d''entrée'!$C$2:$C$5,MATCH($A23,'Jeux d''entrée'!$A$2:$A$5,0))),2)</f>
        <v/>
      </c>
    </row>
    <row r="24">
      <c r="A24" t="inlineStr">
        <is>
          <t>JE04</t>
        </is>
      </c>
      <c r="B24" t="inlineStr">
        <is>
          <t>K105</t>
        </is>
      </c>
      <c r="C24" t="inlineStr">
        <is>
          <t>Prévoyance</t>
        </is>
      </c>
      <c r="D24" t="inlineStr">
        <is>
          <t>prime_chargee_eur</t>
        </is>
      </c>
      <c r="E24" s="3">
        <f>ROUND(INDEX(Contrats!$F$2:$F$7,MATCH($B24,Contrats!$A$2:$A$7,0))*INDEX('Jeux d''entrée'!$E$2:$E$5,MATCH($A24,'Jeux d''entrée'!$A$2:$A$5,0))*(1+INDEX('Jeux d''entrée'!$C$2:$C$5,MATCH($A24,'Jeux d''entrée'!$A$2:$A$5,0))),2)</f>
        <v/>
      </c>
    </row>
    <row r="25">
      <c r="A25" t="inlineStr">
        <is>
          <t>JE04</t>
        </is>
      </c>
      <c r="B25" t="inlineStr">
        <is>
          <t>K106</t>
        </is>
      </c>
      <c r="C25" t="inlineStr">
        <is>
          <t>Responsabilité civile professionnelle</t>
        </is>
      </c>
      <c r="D25" t="inlineStr">
        <is>
          <t>prime_chargee_eur</t>
        </is>
      </c>
      <c r="E25" s="3">
        <f>ROUND(INDEX(Contrats!$F$2:$F$7,MATCH($B25,Contrats!$A$2:$A$7,0))*1*(1+INDEX('Jeux d''entrée'!$C$2:$C$5,MATCH($A25,'Jeux d''entrée'!$A$2:$A$5,0))),2)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24" customWidth="1" min="4" max="4"/>
  </cols>
  <sheetData>
    <row r="1">
      <c r="A1" s="1" t="inlineStr">
        <is>
          <t>id_jeu</t>
        </is>
      </c>
      <c r="B1" s="1" t="inlineStr">
        <is>
          <t>nom</t>
        </is>
      </c>
      <c r="C1" s="1" t="inlineStr">
        <is>
          <t>prime_chargee_eur_totale</t>
        </is>
      </c>
      <c r="D1" s="1" t="inlineStr">
        <is>
          <t>ecart_a_la_reference</t>
        </is>
      </c>
    </row>
    <row r="2">
      <c r="A2">
        <f>'Jeux d''entrée'!A2</f>
        <v/>
      </c>
      <c r="B2">
        <f>'Jeux d''entrée'!B2</f>
        <v/>
      </c>
      <c r="C2" s="3">
        <f>SUMIFS(Résultats!$E:$E,Résultats!$A:$A,$A2,Résultats!$D:$D,"prime_chargee_eur")</f>
        <v/>
      </c>
      <c r="D2" s="3">
        <f>C2-$C$2</f>
        <v/>
      </c>
    </row>
    <row r="3">
      <c r="A3">
        <f>'Jeux d''entrée'!A3</f>
        <v/>
      </c>
      <c r="B3">
        <f>'Jeux d''entrée'!B3</f>
        <v/>
      </c>
      <c r="C3" s="3">
        <f>SUMIFS(Résultats!$E:$E,Résultats!$A:$A,$A3,Résultats!$D:$D,"prime_chargee_eur")</f>
        <v/>
      </c>
      <c r="D3" s="3">
        <f>C3-$C$2</f>
        <v/>
      </c>
    </row>
    <row r="4">
      <c r="A4">
        <f>'Jeux d''entrée'!A4</f>
        <v/>
      </c>
      <c r="B4">
        <f>'Jeux d''entrée'!B4</f>
        <v/>
      </c>
      <c r="C4" s="3">
        <f>SUMIFS(Résultats!$E:$E,Résultats!$A:$A,$A4,Résultats!$D:$D,"prime_chargee_eur")</f>
        <v/>
      </c>
      <c r="D4" s="3">
        <f>C4-$C$2</f>
        <v/>
      </c>
    </row>
    <row r="5">
      <c r="A5">
        <f>'Jeux d''entrée'!A5</f>
        <v/>
      </c>
      <c r="B5">
        <f>'Jeux d''entrée'!B5</f>
        <v/>
      </c>
      <c r="C5" s="3">
        <f>SUMIFS(Résultats!$E:$E,Résultats!$A:$A,$A5,Résultats!$D:$D,"prime_chargee_eur")</f>
        <v/>
      </c>
      <c r="D5" s="3">
        <f>C5-$C$2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2026-10-20T07:41:43Z</dcterms:created>
  <dcterms:modified xmlns:dcterms="http://purl.org/dc/terms/" xmlns:xsi="http://www.w3.org/2001/XMLSchema-instance" xsi:type="dcterms:W3CDTF">2026-10-20T07:41:43Z</dcterms:modified>
</cp:coreProperties>
</file>